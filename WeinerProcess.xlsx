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lane\Documents\development\musicgenerator\"/>
    </mc:Choice>
  </mc:AlternateContent>
  <xr:revisionPtr revIDLastSave="0" documentId="8_{EA337979-C3EB-4936-9C3E-1C56B3C0AF54}" xr6:coauthVersionLast="47" xr6:coauthVersionMax="47" xr10:uidLastSave="{00000000-0000-0000-0000-000000000000}"/>
  <bookViews>
    <workbookView xWindow="-98" yWindow="-98" windowWidth="21795" windowHeight="13875" xr2:uid="{80C66123-A630-4639-B682-4D4025619558}"/>
  </bookViews>
  <sheets>
    <sheet name="Sheet1" sheetId="1" r:id="rId1"/>
  </sheets>
  <definedNames>
    <definedName name="alpha">Sheet1!$K$1</definedName>
    <definedName name="hi">Sheet1!$O$1</definedName>
    <definedName name="lo">Sheet1!$M$1</definedName>
    <definedName name="sigma">Sheet1!$I$1</definedName>
    <definedName name="t">Sheet1!$A$2:$A$1048576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L5" i="1"/>
  <c r="C40" i="1"/>
  <c r="C39" i="1"/>
  <c r="C38" i="1"/>
  <c r="C37" i="1"/>
  <c r="C36" i="1"/>
  <c r="C35" i="1"/>
  <c r="C34" i="1"/>
  <c r="C33" i="1"/>
  <c r="C32" i="1"/>
  <c r="C31" i="1"/>
  <c r="C30" i="1"/>
  <c r="C29" i="1"/>
  <c r="E29" i="1" s="1"/>
  <c r="B30" i="1" s="1"/>
  <c r="C28" i="1"/>
  <c r="C27" i="1"/>
  <c r="C26" i="1"/>
  <c r="C25" i="1"/>
  <c r="C24" i="1"/>
  <c r="C23" i="1"/>
  <c r="C22" i="1"/>
  <c r="C21" i="1"/>
  <c r="C20" i="1"/>
  <c r="C19" i="1"/>
  <c r="C18" i="1"/>
  <c r="C17" i="1"/>
  <c r="E17" i="1" s="1"/>
  <c r="B18" i="1" s="1"/>
  <c r="C16" i="1"/>
  <c r="C15" i="1"/>
  <c r="C14" i="1"/>
  <c r="C13" i="1"/>
  <c r="C12" i="1"/>
  <c r="C11" i="1"/>
  <c r="C10" i="1"/>
  <c r="C9" i="1"/>
  <c r="C8" i="1"/>
  <c r="C7" i="1"/>
  <c r="C6" i="1"/>
  <c r="E6" i="1" s="1"/>
  <c r="B7" i="1" s="1"/>
  <c r="C5" i="1"/>
  <c r="E5" i="1" s="1"/>
  <c r="B6" i="1" s="1"/>
  <c r="C4" i="1"/>
  <c r="C3" i="1"/>
  <c r="C2" i="1"/>
  <c r="D40" i="1"/>
  <c r="D39" i="1"/>
  <c r="D38" i="1"/>
  <c r="E38" i="1" s="1"/>
  <c r="B39" i="1" s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" i="1" s="1"/>
  <c r="B3" i="1" s="1"/>
  <c r="E8" i="1" l="1"/>
  <c r="B9" i="1" s="1"/>
  <c r="E20" i="1"/>
  <c r="B21" i="1" s="1"/>
  <c r="E32" i="1"/>
  <c r="B33" i="1" s="1"/>
  <c r="E9" i="1"/>
  <c r="B10" i="1" s="1"/>
  <c r="E21" i="1"/>
  <c r="B22" i="1" s="1"/>
  <c r="E33" i="1"/>
  <c r="B34" i="1" s="1"/>
  <c r="E18" i="1"/>
  <c r="B19" i="1" s="1"/>
  <c r="E30" i="1"/>
  <c r="B31" i="1" s="1"/>
  <c r="E3" i="1"/>
  <c r="B4" i="1" s="1"/>
  <c r="E15" i="1"/>
  <c r="B16" i="1" s="1"/>
  <c r="E39" i="1"/>
  <c r="B40" i="1" s="1"/>
  <c r="E36" i="1"/>
  <c r="B37" i="1" s="1"/>
  <c r="E11" i="1"/>
  <c r="B12" i="1" s="1"/>
  <c r="E23" i="1"/>
  <c r="B24" i="1" s="1"/>
  <c r="E35" i="1"/>
  <c r="B36" i="1" s="1"/>
  <c r="E12" i="1"/>
  <c r="B13" i="1" s="1"/>
  <c r="E24" i="1"/>
  <c r="B25" i="1" s="1"/>
  <c r="E14" i="1"/>
  <c r="B15" i="1" s="1"/>
  <c r="E26" i="1"/>
  <c r="B27" i="1" s="1"/>
  <c r="E27" i="1"/>
  <c r="B28" i="1" s="1"/>
  <c r="E37" i="1"/>
  <c r="B38" i="1" s="1"/>
  <c r="E16" i="1"/>
  <c r="B17" i="1" s="1"/>
  <c r="E28" i="1"/>
  <c r="B29" i="1" s="1"/>
  <c r="E31" i="1"/>
  <c r="B32" i="1" s="1"/>
  <c r="E4" i="1"/>
  <c r="B5" i="1" s="1"/>
  <c r="E40" i="1"/>
  <c r="E34" i="1"/>
  <c r="B35" i="1" s="1"/>
  <c r="E10" i="1"/>
  <c r="B11" i="1" s="1"/>
  <c r="E25" i="1"/>
  <c r="B26" i="1" s="1"/>
  <c r="E19" i="1"/>
  <c r="B20" i="1" s="1"/>
  <c r="E13" i="1"/>
  <c r="B14" i="1" s="1"/>
  <c r="E7" i="1"/>
  <c r="B8" i="1" s="1"/>
  <c r="E22" i="1"/>
  <c r="B2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<sst xmlns="http://schemas.openxmlformats.org/spreadsheetml/2006/main" count="11" uniqueCount="11">
  <si>
    <t>t</t>
  </si>
  <si>
    <t>x</t>
  </si>
  <si>
    <t>dX</t>
  </si>
  <si>
    <t>alpha</t>
  </si>
  <si>
    <t>sigma</t>
  </si>
  <si>
    <t>lo</t>
  </si>
  <si>
    <t>hi</t>
  </si>
  <si>
    <t>alpha_t</t>
  </si>
  <si>
    <t>sigma_sqrtt</t>
  </si>
  <si>
    <t>current Alpha</t>
  </si>
  <si>
    <t>dX2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</si>
</sst>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Sheet1!$B$2:$B$30</c:f>
              <c:numCache>
                <c:formatCode>General</c:formatCode>
                <c:ptCount val="29"/>
                <c:pt idx="0">
                  <c:v>60</c:v>
                </c:pt>
                <c:pt idx="1">
                  <c:v>62.473725835223497</c:v>
                </c:pt>
                <c:pt idx="2">
                  <c:v>64.106088176232561</c:v>
                </c:pt>
                <c:pt idx="3">
                  <c:v>65.642797280399265</c:v>
                </c:pt>
                <c:pt idx="4">
                  <c:v>66.217836200584188</c:v>
                </c:pt>
                <c:pt idx="5">
                  <c:v>69.985002038977257</c:v>
                </c:pt>
                <c:pt idx="6">
                  <c:v>71.080616434332654</c:v>
                </c:pt>
                <c:pt idx="7">
                  <c:v>72.765675456803564</c:v>
                </c:pt>
                <c:pt idx="8">
                  <c:v>74.885492839662973</c:v>
                </c:pt>
                <c:pt idx="9">
                  <c:v>77.291264223265273</c:v>
                </c:pt>
                <c:pt idx="10">
                  <c:v>81.604347848329454</c:v>
                </c:pt>
                <c:pt idx="11">
                  <c:v>81.829155122436873</c:v>
                </c:pt>
                <c:pt idx="12">
                  <c:v>77.622384959934351</c:v>
                </c:pt>
                <c:pt idx="13">
                  <c:v>90.097011033882865</c:v>
                </c:pt>
                <c:pt idx="14">
                  <c:v>82.874186295590263</c:v>
                </c:pt>
                <c:pt idx="15">
                  <c:v>97.175574435779879</c:v>
                </c:pt>
                <c:pt idx="16">
                  <c:v>95.366335197383037</c:v>
                </c:pt>
                <c:pt idx="17">
                  <c:v>93.958622000449992</c:v>
                </c:pt>
                <c:pt idx="18">
                  <c:v>99.850936318744374</c:v>
                </c:pt>
                <c:pt idx="19">
                  <c:v>96.891712691383646</c:v>
                </c:pt>
                <c:pt idx="20">
                  <c:v>8.7307435978115961</c:v>
                </c:pt>
                <c:pt idx="21">
                  <c:v>12.504530338886241</c:v>
                </c:pt>
                <c:pt idx="22">
                  <c:v>94.200100527540087</c:v>
                </c:pt>
                <c:pt idx="23">
                  <c:v>97.956315920604524</c:v>
                </c:pt>
                <c:pt idx="24">
                  <c:v>6.3084373700711467</c:v>
                </c:pt>
                <c:pt idx="25">
                  <c:v>6.9673977797305611</c:v>
                </c:pt>
                <c:pt idx="26">
                  <c:v>9.8392713014943638</c:v>
                </c:pt>
                <c:pt idx="27">
                  <c:v>18.652326244725188</c:v>
                </c:pt>
                <c:pt idx="28">
                  <c:v>16.352761077746095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7-47D8-A4C6-F3A9C5AAF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084352"/>
        <c:axId val="473092032"/>
      </c:scatterChart>
      <c:valAx>
        <c:axId val="47308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92032"/>
        <c:crosses val="autoZero"/>
        <c:crossBetween val="midCat"/>
      </c:valAx>
      <c:valAx>
        <c:axId val="4730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08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442912</xdr:colOff>
      <xdr:row>12</xdr:row>
      <xdr:rowOff>90487</xdr:rowOff>
    </xdr:from>
    <xdr:to>
      <xdr:col>19</xdr:col>
      <xdr:colOff>214312</xdr:colOff>
      <xdr:row>28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50BFF1-280F-6B74-2254-41EBC3DC9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12</xdr:col>
      <xdr:colOff>57170</xdr:colOff>
      <xdr:row>10</xdr:row>
      <xdr:rowOff>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BB9F6B-30EE-1FEA-5CFA-F935CA264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1371600"/>
          <a:ext cx="2800370" cy="342903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751C-D5A5-4C62-99FE-84A5330ED48E}">
  <sheetPr codeName="Sheet1"/>
  <dimension ref="A1:O40"/>
  <sheetViews>
    <sheetView tabSelected="1" workbookViewId="0">
      <selection activeCell="I13" sqref="I13"/>
    </sheetView>
  </sheetViews>
  <sheetFormatPr defaultRowHeight="13.5"/>
  <sheetData>
    <row r="1" spans="1:1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9</v>
      </c>
      <c r="G1" t="s">
        <v>10</v>
      </c>
      <c r="H1" t="s">
        <v>4</v>
      </c>
      <c r="I1">
        <v>1</v>
      </c>
      <c r="J1" t="s">
        <v>3</v>
      </c>
      <c r="K1">
        <v>2</v>
      </c>
      <c r="L1" t="s">
        <v>5</v>
      </c>
      <c r="M1">
        <v>50</v>
      </c>
      <c r="N1" t="s">
        <v>6</v>
      </c>
      <c r="O1">
        <v>100</v>
      </c>
    </row>
    <row r="2" spans="1:15">
      <c r="A2">
        <v>1</v>
      </c>
      <c r="B2">
        <v>60</v>
      </c>
      <c r="C2">
        <f>alpha*A2</f>
        <v>2</v>
      </c>
      <c r="D2">
        <f>sigma*SQRT(A2)</f>
        <v>1</v>
      </c>
      <c r="E2">
        <f ca="1">IF(sigma=0,0,NORMINV(RAND(), 0, D2)) + C2</f>
        <v>2.4737258352234979</v>
      </c>
      <c r="F2">
        <f>C2</f>
        <v>2</v>
      </c>
      <c r="G2">
        <f ca="1">IF(sigma=0,0,NORMINV(RAND(), 0, D2)) + F2</f>
        <v>2.2256696353307692</v>
      </c>
    </row>
    <row r="3" spans="1:15">
      <c r="A3">
        <v>2</v>
      </c>
      <c r="B3">
        <f ca="1">MOD($B$2+E2,hi)</f>
        <v>62.473725835223497</v>
      </c>
      <c r="C3">
        <f>alpha*A3</f>
        <v>4</v>
      </c>
      <c r="D3">
        <f>sigma*SQRT(A3)</f>
        <v>1.4142135623730951</v>
      </c>
      <c r="E3">
        <f ca="1">IF(sigma=0,0,NORMINV(RAND(), 0, D3)) + C3</f>
        <v>4.1060881762325652</v>
      </c>
    </row>
    <row r="4" spans="1:15">
      <c r="A4">
        <v>3</v>
      </c>
      <c r="B4">
        <f ca="1">MOD($B$2+E3,hi)</f>
        <v>64.106088176232561</v>
      </c>
      <c r="C4">
        <f>alpha*A4</f>
        <v>6</v>
      </c>
      <c r="D4">
        <f>sigma*SQRT(A4)</f>
        <v>1.7320508075688772</v>
      </c>
      <c r="E4">
        <f ca="1">IF(sigma=0,0,NORMINV(RAND(), 0, D4)) + C4</f>
        <v>5.6427972803992574</v>
      </c>
    </row>
    <row r="5" spans="1:15">
      <c r="A5">
        <v>4</v>
      </c>
      <c r="B5">
        <f ca="1">MOD($B$2+E4,hi)</f>
        <v>65.642797280399265</v>
      </c>
      <c r="C5">
        <f>alpha*A5</f>
        <v>8</v>
      </c>
      <c r="D5">
        <f>sigma*SQRT(A5)</f>
        <v>2</v>
      </c>
      <c r="E5">
        <f ca="1">IF(sigma=0,0,NORMINV(RAND(), 0, D5)) + C5</f>
        <v>6.2178362005841841</v>
      </c>
      <c r="L5" t="e" vm="1">
        <f>_xleta.MOD</f>
        <v>#VALUE!</v>
      </c>
    </row>
    <row r="6" spans="1:15">
      <c r="A6">
        <v>5</v>
      </c>
      <c r="B6">
        <f ca="1">MOD($B$2+E5,hi)</f>
        <v>66.217836200584188</v>
      </c>
      <c r="C6">
        <f>alpha*A6</f>
        <v>10</v>
      </c>
      <c r="D6">
        <f>sigma*SQRT(A6)</f>
        <v>2.2360679774997898</v>
      </c>
      <c r="E6">
        <f ca="1">IF(sigma=0,0,NORMINV(RAND(), 0, D6)) + C6</f>
        <v>9.9850020389772638</v>
      </c>
    </row>
    <row r="7" spans="1:15">
      <c r="A7">
        <v>6</v>
      </c>
      <c r="B7">
        <f ca="1">MOD($B$2+E6,hi)</f>
        <v>69.985002038977257</v>
      </c>
      <c r="C7">
        <f>alpha*A7</f>
        <v>12</v>
      </c>
      <c r="D7">
        <f>sigma*SQRT(A7)</f>
        <v>2.4494897427831779</v>
      </c>
      <c r="E7">
        <f ca="1">IF(sigma=0,0,NORMINV(RAND(), 0, D7)) + C7</f>
        <v>11.080616434332647</v>
      </c>
    </row>
    <row r="8" spans="1:15">
      <c r="A8">
        <v>7</v>
      </c>
      <c r="B8">
        <f ca="1">MOD($B$2+E7,hi)</f>
        <v>71.080616434332654</v>
      </c>
      <c r="C8">
        <f>alpha*A8</f>
        <v>14</v>
      </c>
      <c r="D8">
        <f>sigma*SQRT(A8)</f>
        <v>2.6457513110645907</v>
      </c>
      <c r="E8">
        <f ca="1">IF(sigma=0,0,NORMINV(RAND(), 0, D8)) + C8</f>
        <v>12.765675456803571</v>
      </c>
    </row>
    <row r="9" spans="1:15">
      <c r="A9">
        <v>8</v>
      </c>
      <c r="B9">
        <f ca="1">MOD($B$2+E8,hi)</f>
        <v>72.765675456803564</v>
      </c>
      <c r="C9">
        <f>alpha*A9</f>
        <v>16</v>
      </c>
      <c r="D9">
        <f>sigma*SQRT(A9)</f>
        <v>2.8284271247461903</v>
      </c>
      <c r="E9">
        <f ca="1">IF(sigma=0,0,NORMINV(RAND(), 0, D9)) + C9</f>
        <v>14.885492839662978</v>
      </c>
    </row>
    <row r="10" spans="1:15">
      <c r="A10">
        <v>9</v>
      </c>
      <c r="B10">
        <f ca="1">MOD($B$2+E9,hi)</f>
        <v>74.885492839662973</v>
      </c>
      <c r="C10">
        <f>alpha*A10</f>
        <v>18</v>
      </c>
      <c r="D10">
        <f>sigma*SQRT(A10)</f>
        <v>3</v>
      </c>
      <c r="E10">
        <f ca="1">IF(sigma=0,0,NORMINV(RAND(), 0, D10)) + C10</f>
        <v>17.291264223265266</v>
      </c>
    </row>
    <row r="11" spans="1:15">
      <c r="A11">
        <v>10</v>
      </c>
      <c r="B11">
        <f ca="1">MOD($B$2+E10,hi)</f>
        <v>77.291264223265273</v>
      </c>
      <c r="C11">
        <f>alpha*A11</f>
        <v>20</v>
      </c>
      <c r="D11">
        <f>sigma*SQRT(A11)</f>
        <v>3.1622776601683795</v>
      </c>
      <c r="E11">
        <f ca="1">IF(sigma=0,0,NORMINV(RAND(), 0, D11)) + C11</f>
        <v>21.604347848329454</v>
      </c>
    </row>
    <row r="12" spans="1:15">
      <c r="A12">
        <v>11</v>
      </c>
      <c r="B12">
        <f ca="1">MOD($B$2+E11,hi)</f>
        <v>81.604347848329454</v>
      </c>
      <c r="C12">
        <f>alpha*A12</f>
        <v>22</v>
      </c>
      <c r="D12">
        <f>sigma*SQRT(A12)</f>
        <v>3.3166247903553998</v>
      </c>
      <c r="E12">
        <f ca="1">IF(sigma=0,0,NORMINV(RAND(), 0, D12)) + C12</f>
        <v>21.829155122436873</v>
      </c>
    </row>
    <row r="13" spans="1:15">
      <c r="A13">
        <v>12</v>
      </c>
      <c r="B13">
        <f ca="1">MOD($B$2+E12,hi)</f>
        <v>81.829155122436873</v>
      </c>
      <c r="C13">
        <f>alpha*A13</f>
        <v>24</v>
      </c>
      <c r="D13">
        <f>sigma*SQRT(A13)</f>
        <v>3.4641016151377544</v>
      </c>
      <c r="E13">
        <f ca="1">IF(sigma=0,0,NORMINV(RAND(), 0, D13)) + C13</f>
        <v>17.622384959934344</v>
      </c>
    </row>
    <row r="14" spans="1:15">
      <c r="A14">
        <v>13</v>
      </c>
      <c r="B14">
        <f ca="1">MOD($B$2+E13,hi)</f>
        <v>77.622384959934351</v>
      </c>
      <c r="C14">
        <f>alpha*A14</f>
        <v>26</v>
      </c>
      <c r="D14">
        <f>sigma*SQRT(A14)</f>
        <v>3.6055512754639891</v>
      </c>
      <c r="E14">
        <f ca="1">IF(sigma=0,0,NORMINV(RAND(), 0, D14)) + C14</f>
        <v>30.097011033882868</v>
      </c>
    </row>
    <row r="15" spans="1:15">
      <c r="A15">
        <v>14</v>
      </c>
      <c r="B15">
        <f ca="1">MOD($B$2+E14,hi)</f>
        <v>90.097011033882865</v>
      </c>
      <c r="C15">
        <f>alpha*A15</f>
        <v>28</v>
      </c>
      <c r="D15">
        <f>sigma*SQRT(A15)</f>
        <v>3.7416573867739413</v>
      </c>
      <c r="E15">
        <f ca="1">IF(sigma=0,0,NORMINV(RAND(), 0, D15)) + C15</f>
        <v>22.874186295590267</v>
      </c>
    </row>
    <row r="16" spans="1:15">
      <c r="A16">
        <v>15</v>
      </c>
      <c r="B16">
        <f ca="1">MOD($B$2+E15,hi)</f>
        <v>82.874186295590263</v>
      </c>
      <c r="C16">
        <f>alpha*A16</f>
        <v>30</v>
      </c>
      <c r="D16">
        <f>sigma*SQRT(A16)</f>
        <v>3.872983346207417</v>
      </c>
      <c r="E16">
        <f ca="1">IF(sigma=0,0,NORMINV(RAND(), 0, D16)) + C16</f>
        <v>37.175574435779872</v>
      </c>
    </row>
    <row r="17" spans="1:5">
      <c r="A17">
        <v>16</v>
      </c>
      <c r="B17">
        <f ca="1">MOD($B$2+E16,hi)</f>
        <v>97.175574435779879</v>
      </c>
      <c r="C17">
        <f>alpha*A17</f>
        <v>32</v>
      </c>
      <c r="D17">
        <f>sigma*SQRT(A17)</f>
        <v>4</v>
      </c>
      <c r="E17">
        <f ca="1">IF(sigma=0,0,NORMINV(RAND(), 0, D17)) + C17</f>
        <v>35.366335197383037</v>
      </c>
    </row>
    <row r="18" spans="1:5">
      <c r="A18">
        <v>17</v>
      </c>
      <c r="B18">
        <f ca="1">MOD($B$2+E17,hi)</f>
        <v>95.366335197383037</v>
      </c>
      <c r="C18">
        <f>alpha*A18</f>
        <v>34</v>
      </c>
      <c r="D18">
        <f>sigma*SQRT(A18)</f>
        <v>4.1231056256176606</v>
      </c>
      <c r="E18">
        <f ca="1">IF(sigma=0,0,NORMINV(RAND(), 0, D18)) + C18</f>
        <v>33.958622000449985</v>
      </c>
    </row>
    <row r="19" spans="1:5">
      <c r="A19">
        <v>18</v>
      </c>
      <c r="B19">
        <f ca="1">MOD($B$2+E18,hi)</f>
        <v>93.958622000449992</v>
      </c>
      <c r="C19">
        <f>alpha*A19</f>
        <v>36</v>
      </c>
      <c r="D19">
        <f>sigma*SQRT(A19)</f>
        <v>4.2426406871192848</v>
      </c>
      <c r="E19">
        <f ca="1">IF(sigma=0,0,NORMINV(RAND(), 0, D19)) + C19</f>
        <v>39.850936318744367</v>
      </c>
    </row>
    <row r="20" spans="1:5">
      <c r="A20">
        <v>19</v>
      </c>
      <c r="B20">
        <f ca="1">MOD($B$2+E19,hi)</f>
        <v>99.850936318744374</v>
      </c>
      <c r="C20">
        <f>alpha*A20</f>
        <v>38</v>
      </c>
      <c r="D20">
        <f>sigma*SQRT(A20)</f>
        <v>4.358898943540674</v>
      </c>
      <c r="E20">
        <f ca="1">IF(sigma=0,0,NORMINV(RAND(), 0, D20)) + C20</f>
        <v>36.891712691383653</v>
      </c>
    </row>
    <row r="21" spans="1:5">
      <c r="A21">
        <v>20</v>
      </c>
      <c r="B21">
        <f ca="1">MOD($B$2+E20,hi)</f>
        <v>96.891712691383646</v>
      </c>
      <c r="C21">
        <f>alpha*A21</f>
        <v>40</v>
      </c>
      <c r="D21">
        <f>sigma*SQRT(A21)</f>
        <v>4.4721359549995796</v>
      </c>
      <c r="E21">
        <f ca="1">IF(sigma=0,0,NORMINV(RAND(), 0, D21)) + C21</f>
        <v>48.730743597811589</v>
      </c>
    </row>
    <row r="22" spans="1:5">
      <c r="A22">
        <v>21</v>
      </c>
      <c r="B22">
        <f ca="1">MOD($B$2+E21,hi)</f>
        <v>8.7307435978115961</v>
      </c>
      <c r="C22">
        <f>alpha*A22</f>
        <v>42</v>
      </c>
      <c r="D22">
        <f>sigma*SQRT(A22)</f>
        <v>4.5825756949558398</v>
      </c>
      <c r="E22">
        <f ca="1">IF(sigma=0,0,NORMINV(RAND(), 0, D22)) + C22</f>
        <v>52.504530338886248</v>
      </c>
    </row>
    <row r="23" spans="1:5">
      <c r="A23">
        <v>22</v>
      </c>
      <c r="B23">
        <f ca="1">MOD($B$2+E22,hi)</f>
        <v>12.504530338886241</v>
      </c>
      <c r="C23">
        <f>alpha*A23</f>
        <v>44</v>
      </c>
      <c r="D23">
        <f>sigma*SQRT(A23)</f>
        <v>4.6904157598234297</v>
      </c>
      <c r="E23">
        <f ca="1">IF(sigma=0,0,NORMINV(RAND(), 0, D23)) + C23</f>
        <v>34.200100527540094</v>
      </c>
    </row>
    <row r="24" spans="1:5">
      <c r="A24">
        <v>23</v>
      </c>
      <c r="B24">
        <f ca="1">MOD($B$2+E23,hi)</f>
        <v>94.200100527540087</v>
      </c>
      <c r="C24">
        <f>alpha*A24</f>
        <v>46</v>
      </c>
      <c r="D24">
        <f>sigma*SQRT(A24)</f>
        <v>4.7958315233127191</v>
      </c>
      <c r="E24">
        <f ca="1">IF(sigma=0,0,NORMINV(RAND(), 0, D24)) + C24</f>
        <v>37.956315920604524</v>
      </c>
    </row>
    <row r="25" spans="1:5">
      <c r="A25">
        <v>24</v>
      </c>
      <c r="B25">
        <f ca="1">MOD($B$2+E24,hi)</f>
        <v>97.956315920604524</v>
      </c>
      <c r="C25">
        <f>alpha*A25</f>
        <v>48</v>
      </c>
      <c r="D25">
        <f>sigma*SQRT(A25)</f>
        <v>4.8989794855663558</v>
      </c>
      <c r="E25">
        <f ca="1">IF(sigma=0,0,NORMINV(RAND(), 0, D25)) + C25</f>
        <v>46.308437370071154</v>
      </c>
    </row>
    <row r="26" spans="1:5">
      <c r="A26">
        <v>25</v>
      </c>
      <c r="B26">
        <f ca="1">MOD($B$2+E25,hi)</f>
        <v>6.3084373700711467</v>
      </c>
      <c r="C26">
        <f>alpha*A26</f>
        <v>50</v>
      </c>
      <c r="D26">
        <f>sigma*SQRT(A26)</f>
        <v>5</v>
      </c>
      <c r="E26">
        <f ca="1">IF(sigma=0,0,NORMINV(RAND(), 0, D26)) + C26</f>
        <v>46.967397779730554</v>
      </c>
    </row>
    <row r="27" spans="1:5">
      <c r="A27">
        <v>26</v>
      </c>
      <c r="B27">
        <f ca="1">MOD($B$2+E26,hi)</f>
        <v>6.9673977797305611</v>
      </c>
      <c r="C27">
        <f>alpha*A27</f>
        <v>52</v>
      </c>
      <c r="D27">
        <f>sigma*SQRT(A27)</f>
        <v>5.0990195135927845</v>
      </c>
      <c r="E27">
        <f ca="1">IF(sigma=0,0,NORMINV(RAND(), 0, D27)) + C27</f>
        <v>49.839271301494364</v>
      </c>
    </row>
    <row r="28" spans="1:5">
      <c r="A28">
        <v>27</v>
      </c>
      <c r="B28">
        <f ca="1">MOD($B$2+E27,hi)</f>
        <v>9.8392713014943638</v>
      </c>
      <c r="C28">
        <f>alpha*A28</f>
        <v>54</v>
      </c>
      <c r="D28">
        <f>sigma*SQRT(A28)</f>
        <v>5.196152422706632</v>
      </c>
      <c r="E28">
        <f ca="1">IF(sigma=0,0,NORMINV(RAND(), 0, D28)) + C28</f>
        <v>58.652326244725188</v>
      </c>
    </row>
    <row r="29" spans="1:5">
      <c r="A29">
        <v>28</v>
      </c>
      <c r="B29">
        <f ca="1">MOD($B$2+E28,hi)</f>
        <v>18.652326244725188</v>
      </c>
      <c r="C29">
        <f>alpha*A29</f>
        <v>56</v>
      </c>
      <c r="D29">
        <f>sigma*SQRT(A29)</f>
        <v>5.2915026221291814</v>
      </c>
      <c r="E29">
        <f ca="1">IF(sigma=0,0,NORMINV(RAND(), 0, D29)) + C29</f>
        <v>56.352761077746088</v>
      </c>
    </row>
    <row r="30" spans="1:5">
      <c r="A30">
        <v>29</v>
      </c>
      <c r="B30">
        <f ca="1">MOD($B$2+E29,hi)</f>
        <v>16.352761077746095</v>
      </c>
      <c r="C30">
        <f>alpha*A30</f>
        <v>58</v>
      </c>
      <c r="D30">
        <f>sigma*SQRT(A30)</f>
        <v>5.3851648071345037</v>
      </c>
      <c r="E30">
        <f ca="1">IF(sigma=0,0,NORMINV(RAND(), 0, D30)) + C30</f>
        <v>70.633525992918862</v>
      </c>
    </row>
    <row r="31" spans="1:5">
      <c r="A31">
        <v>30</v>
      </c>
      <c r="B31">
        <f ca="1">MOD($B$2+E30,hi)</f>
        <v>30.633525992918862</v>
      </c>
      <c r="C31">
        <f>alpha*A31</f>
        <v>60</v>
      </c>
      <c r="D31">
        <f>sigma*SQRT(A31)</f>
        <v>5.4772255750516612</v>
      </c>
      <c r="E31">
        <f ca="1">IF(sigma=0,0,NORMINV(RAND(), 0, D31)) + C31</f>
        <v>65.854721290168925</v>
      </c>
    </row>
    <row r="32" spans="1:5">
      <c r="A32">
        <v>31</v>
      </c>
      <c r="B32">
        <f ca="1">MOD($B$2+E31,hi)</f>
        <v>25.854721290168925</v>
      </c>
      <c r="C32">
        <f>alpha*A32</f>
        <v>62</v>
      </c>
      <c r="D32">
        <f>sigma*SQRT(A32)</f>
        <v>5.5677643628300215</v>
      </c>
      <c r="E32">
        <f ca="1">IF(sigma=0,0,NORMINV(RAND(), 0, D32)) + C32</f>
        <v>59.643025962404451</v>
      </c>
    </row>
    <row r="33" spans="1:5">
      <c r="A33">
        <v>32</v>
      </c>
      <c r="B33">
        <f ca="1">MOD($B$2+E32,hi)</f>
        <v>19.643025962404451</v>
      </c>
      <c r="C33">
        <f>alpha*A33</f>
        <v>64</v>
      </c>
      <c r="D33">
        <f>sigma*SQRT(A33)</f>
        <v>5.6568542494923806</v>
      </c>
      <c r="E33">
        <f ca="1">IF(sigma=0,0,NORMINV(RAND(), 0, D33)) + C33</f>
        <v>58.723645702188804</v>
      </c>
    </row>
    <row r="34" spans="1:5">
      <c r="A34">
        <v>33</v>
      </c>
      <c r="B34">
        <f ca="1">MOD($B$2+E33,hi)</f>
        <v>18.723645702188804</v>
      </c>
      <c r="C34">
        <f>alpha*A34</f>
        <v>66</v>
      </c>
      <c r="D34">
        <f>sigma*SQRT(A34)</f>
        <v>5.7445626465380286</v>
      </c>
      <c r="E34">
        <f ca="1">IF(sigma=0,0,NORMINV(RAND(), 0, D34)) + C34</f>
        <v>74.339855907220581</v>
      </c>
    </row>
    <row r="35" spans="1:5">
      <c r="A35">
        <v>34</v>
      </c>
      <c r="B35">
        <f ca="1">MOD($B$2+E34,hi)</f>
        <v>34.339855907220567</v>
      </c>
      <c r="C35">
        <f>alpha*A35</f>
        <v>68</v>
      </c>
      <c r="D35">
        <f>sigma*SQRT(A35)</f>
        <v>5.8309518948453007</v>
      </c>
      <c r="E35">
        <f ca="1">IF(sigma=0,0,NORMINV(RAND(), 0, D35)) + C35</f>
        <v>70.76832042528487</v>
      </c>
    </row>
    <row r="36" spans="1:5">
      <c r="A36">
        <v>35</v>
      </c>
      <c r="B36">
        <f ca="1">MOD($B$2+E35,hi)</f>
        <v>30.768320425284855</v>
      </c>
      <c r="C36">
        <f>alpha*A36</f>
        <v>70</v>
      </c>
      <c r="D36">
        <f>sigma*SQRT(A36)</f>
        <v>5.9160797830996161</v>
      </c>
      <c r="E36">
        <f ca="1">IF(sigma=0,0,NORMINV(RAND(), 0, D36)) + C36</f>
        <v>77.063211085217475</v>
      </c>
    </row>
    <row r="37" spans="1:5">
      <c r="A37">
        <v>36</v>
      </c>
      <c r="B37">
        <f ca="1">MOD($B$2+E36,hi)</f>
        <v>37.063211085217461</v>
      </c>
      <c r="C37">
        <f>alpha*A37</f>
        <v>72</v>
      </c>
      <c r="D37">
        <f>sigma*SQRT(A37)</f>
        <v>6</v>
      </c>
      <c r="E37">
        <f ca="1">IF(sigma=0,0,NORMINV(RAND(), 0, D37)) + C37</f>
        <v>60.625887861315348</v>
      </c>
    </row>
    <row r="38" spans="1:5">
      <c r="A38">
        <v>37</v>
      </c>
      <c r="B38">
        <f ca="1">MOD($B$2+E37,hi)</f>
        <v>20.625887861315348</v>
      </c>
      <c r="C38">
        <f>alpha*A38</f>
        <v>74</v>
      </c>
      <c r="D38">
        <f>sigma*SQRT(A38)</f>
        <v>6.0827625302982193</v>
      </c>
      <c r="E38">
        <f ca="1">IF(sigma=0,0,NORMINV(RAND(), 0, D38)) + C38</f>
        <v>64.256934812961958</v>
      </c>
    </row>
    <row r="39" spans="1:5">
      <c r="A39">
        <v>38</v>
      </c>
      <c r="B39">
        <f ca="1">MOD($B$2+E38,hi)</f>
        <v>24.256934812961958</v>
      </c>
      <c r="C39">
        <f>alpha*A39</f>
        <v>76</v>
      </c>
      <c r="D39">
        <f>sigma*SQRT(A39)</f>
        <v>6.164414002968976</v>
      </c>
      <c r="E39">
        <f ca="1">IF(sigma=0,0,NORMINV(RAND(), 0, D39)) + C39</f>
        <v>82.147245854587368</v>
      </c>
    </row>
    <row r="40" spans="1:5">
      <c r="A40">
        <v>39</v>
      </c>
      <c r="B40">
        <f ca="1">MOD($B$2+E39,hi)</f>
        <v>42.147245854587368</v>
      </c>
      <c r="C40">
        <f>alpha*A40</f>
        <v>78</v>
      </c>
      <c r="D40">
        <f>sigma*SQRT(A40)</f>
        <v>6.2449979983983983</v>
      </c>
      <c r="E40">
        <f ca="1">IF(sigma=0,0,NORMINV(RAND(), 0, D40)) + C40</f>
        <v>86.938740301529421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alpha</vt:lpstr>
      <vt:lpstr>hi</vt:lpstr>
      <vt:lpstr>lo</vt:lpstr>
      <vt:lpstr>sigma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Lane</dc:creator>
  <cp:lastModifiedBy>Bob Lane</cp:lastModifiedBy>
  <dcterms:created xsi:type="dcterms:W3CDTF">2025-01-13T21:03:24Z</dcterms:created>
  <dcterms:modified xsi:type="dcterms:W3CDTF">2025-01-15T11:22:22Z</dcterms:modified>
</cp:coreProperties>
</file>